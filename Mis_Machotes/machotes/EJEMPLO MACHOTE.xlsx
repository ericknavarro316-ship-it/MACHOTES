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840a6690d51e2b/Escritorio/Mis_Machotes/machotes/"/>
    </mc:Choice>
  </mc:AlternateContent>
  <xr:revisionPtr revIDLastSave="1" documentId="13_ncr:1_{BED0B23F-DEE8-402A-AD96-510CD0EA5578}" xr6:coauthVersionLast="47" xr6:coauthVersionMax="47" xr10:uidLastSave="{C550D68A-7DEC-4238-A682-BB8A5B8A42B9}"/>
  <bookViews>
    <workbookView xWindow="-110" yWindow="-110" windowWidth="19420" windowHeight="11500" xr2:uid="{00000000-000D-0000-FFFF-FFFF00000000}"/>
  </bookViews>
  <sheets>
    <sheet name="REN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G10" i="3"/>
  <c r="H10" i="3" s="1"/>
  <c r="I10" i="3" s="1"/>
  <c r="G9" i="3"/>
  <c r="H9" i="3" s="1"/>
  <c r="I9" i="3" s="1"/>
  <c r="G8" i="3"/>
  <c r="H8" i="3" s="1"/>
  <c r="H11" i="3" l="1"/>
  <c r="I8" i="3"/>
  <c r="I11" i="3" s="1"/>
  <c r="G11" i="3"/>
</calcChain>
</file>

<file path=xl/sharedStrings.xml><?xml version="1.0" encoding="utf-8"?>
<sst xmlns="http://schemas.openxmlformats.org/spreadsheetml/2006/main" count="26" uniqueCount="24">
  <si>
    <t>EMPRESA</t>
  </si>
  <si>
    <t xml:space="preserve">MOVILIDAD ELECTRICA DE JALISCO </t>
  </si>
  <si>
    <t>RFC</t>
  </si>
  <si>
    <t>MEJ2308116I1</t>
  </si>
  <si>
    <t>USO CFDI</t>
  </si>
  <si>
    <t>ADQUISICION DE MERCANCÍA</t>
  </si>
  <si>
    <t>METODO DE PAGO</t>
  </si>
  <si>
    <t>PUE</t>
  </si>
  <si>
    <t>FORMA DE PAGO</t>
  </si>
  <si>
    <t>TRANSFERENCIA</t>
  </si>
  <si>
    <t>CANTIDAD</t>
  </si>
  <si>
    <t>UMC</t>
  </si>
  <si>
    <t>CLAVE SAT</t>
  </si>
  <si>
    <t>DESCRIPCION</t>
  </si>
  <si>
    <t>PRECIO</t>
  </si>
  <si>
    <t>SUBTOTAL</t>
  </si>
  <si>
    <t>IVA</t>
  </si>
  <si>
    <t>TOTAL</t>
  </si>
  <si>
    <t xml:space="preserve">DÍA DE FACTURACIÓN </t>
  </si>
  <si>
    <t xml:space="preserve">FACTURA </t>
  </si>
  <si>
    <t>Motobici Electrica Honey Whale U1S Azul No de SERIE:LU5RMC261S5001441</t>
  </si>
  <si>
    <t>Motobici Electrica Honey Whale U1S Azul No de SERIE:LU5RMC264S5001546</t>
  </si>
  <si>
    <t>Motobici Electrica Honey Whale U1S Azul No de SERIE:U5RMC26XS5000319</t>
  </si>
  <si>
    <t>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</si>
</sst>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8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WPS灵秀黑"/>
      <charset val="13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43" fontId="1" fillId="0" borderId="0" xfId="1" applyFont="1"/>
    <xf numFmtId="0" fontId="1" fillId="0" borderId="0" xfId="0" applyFont="1" applyAlignment="1">
      <alignment horizontal="left"/>
    </xf>
    <xf numFmtId="164" fontId="1" fillId="0" borderId="0" xfId="2" applyFont="1" applyAlignment="1"/>
    <xf numFmtId="43" fontId="2" fillId="0" borderId="1" xfId="1" applyFont="1" applyFill="1" applyBorder="1" applyAlignment="1">
      <alignment horizontal="left"/>
    </xf>
    <xf numFmtId="43" fontId="2" fillId="2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2" borderId="1" xfId="2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164" fontId="3" fillId="0" borderId="1" xfId="2" applyFont="1" applyBorder="1" applyAlignment="1">
      <alignment horizontal="center"/>
    </xf>
    <xf numFmtId="164" fontId="1" fillId="0" borderId="1" xfId="2" applyFont="1" applyBorder="1" applyAlignme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2" applyFont="1" applyFill="1" applyBorder="1" applyAlignment="1">
      <alignment vertical="center"/>
    </xf>
    <xf numFmtId="43" fontId="2" fillId="0" borderId="1" xfId="1" applyFont="1" applyFill="1" applyBorder="1" applyAlignment="1">
      <alignment horizontal="right"/>
    </xf>
    <xf numFmtId="43" fontId="2" fillId="0" borderId="1" xfId="1" applyFont="1" applyFill="1" applyBorder="1" applyAlignment="1">
      <alignment horizontal="center" vertical="center"/>
    </xf>
    <xf numFmtId="164" fontId="4" fillId="0" borderId="0" xfId="2" applyFont="1" applyAlignment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1" xfId="0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7EE790E9-40CC-4D41-AD4F-88EA6C3B0498}"/>
  </tableStyles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tabSelected="1" zoomScale="80" zoomScaleNormal="80" workbookViewId="0">
      <selection activeCell="D19" sqref="D19"/>
    </sheetView>
  </sheetViews>
  <sheetFormatPr baseColWidth="10" defaultColWidth="11.453125" defaultRowHeight="15.5"/>
  <cols>
    <col min="1" max="1" width="11.453125" style="3"/>
    <col min="2" max="2" width="43.7265625" style="4" bestFit="1" customWidth="1"/>
    <col min="3" max="3" width="14.1796875" style="5" customWidth="1"/>
    <col min="4" max="4" width="15.7265625" style="5" customWidth="1"/>
    <col min="5" max="5" width="120.7265625" style="3" customWidth="1"/>
    <col min="6" max="6" width="15" style="6" customWidth="1"/>
    <col min="7" max="7" width="19.54296875" style="4" customWidth="1"/>
    <col min="8" max="8" width="18.7265625" style="4" customWidth="1"/>
    <col min="9" max="9" width="19.26953125" style="4" customWidth="1"/>
    <col min="10" max="10" width="27.7265625" style="1" customWidth="1"/>
    <col min="11" max="11" width="13" style="3" customWidth="1"/>
    <col min="12" max="12" width="11.453125" style="3"/>
    <col min="13" max="13" width="13.81640625" style="3" customWidth="1"/>
    <col min="14" max="16384" width="11.453125" style="3"/>
  </cols>
  <sheetData>
    <row r="2" spans="2:12">
      <c r="B2" s="7" t="s">
        <v>0</v>
      </c>
      <c r="C2" s="27" t="s">
        <v>1</v>
      </c>
      <c r="D2" s="28"/>
      <c r="E2" s="28"/>
      <c r="F2" s="28"/>
      <c r="G2" s="28"/>
      <c r="H2" s="28"/>
      <c r="I2" s="28"/>
      <c r="J2" s="28"/>
      <c r="K2" s="29"/>
    </row>
    <row r="3" spans="2:12">
      <c r="B3" s="7" t="s">
        <v>2</v>
      </c>
      <c r="C3" s="27" t="s">
        <v>3</v>
      </c>
      <c r="D3" s="28"/>
      <c r="E3" s="28"/>
      <c r="F3" s="28"/>
      <c r="G3" s="28"/>
      <c r="H3" s="28"/>
      <c r="I3" s="28"/>
      <c r="J3" s="28"/>
      <c r="K3" s="29"/>
    </row>
    <row r="4" spans="2:12">
      <c r="B4" s="7" t="s">
        <v>4</v>
      </c>
      <c r="C4" s="27" t="s">
        <v>5</v>
      </c>
      <c r="D4" s="28"/>
      <c r="E4" s="28"/>
      <c r="F4" s="28"/>
      <c r="G4" s="28"/>
      <c r="H4" s="28"/>
      <c r="I4" s="28"/>
      <c r="J4" s="28"/>
      <c r="K4" s="29"/>
    </row>
    <row r="5" spans="2:12">
      <c r="B5" s="7" t="s">
        <v>6</v>
      </c>
      <c r="C5" s="27" t="s">
        <v>7</v>
      </c>
      <c r="D5" s="28"/>
      <c r="E5" s="28"/>
      <c r="F5" s="28"/>
      <c r="G5" s="28"/>
      <c r="H5" s="28"/>
      <c r="I5" s="28"/>
      <c r="J5" s="28"/>
      <c r="K5" s="29"/>
    </row>
    <row r="6" spans="2:12">
      <c r="B6" s="7" t="s">
        <v>8</v>
      </c>
      <c r="C6" s="30" t="s">
        <v>9</v>
      </c>
      <c r="D6" s="28"/>
      <c r="E6" s="28"/>
      <c r="F6" s="28"/>
      <c r="G6" s="28"/>
      <c r="H6" s="28"/>
      <c r="I6" s="28"/>
      <c r="J6" s="28"/>
      <c r="K6" s="29"/>
    </row>
    <row r="7" spans="2:12" s="1" customFormat="1">
      <c r="B7" s="8" t="s">
        <v>10</v>
      </c>
      <c r="C7" s="9" t="s">
        <v>11</v>
      </c>
      <c r="D7" s="8" t="s">
        <v>12</v>
      </c>
      <c r="E7" s="9" t="s">
        <v>13</v>
      </c>
      <c r="F7" s="10" t="s">
        <v>14</v>
      </c>
      <c r="G7" s="11" t="s">
        <v>15</v>
      </c>
      <c r="H7" s="8" t="s">
        <v>16</v>
      </c>
      <c r="I7" s="11" t="s">
        <v>17</v>
      </c>
      <c r="J7" s="8" t="s">
        <v>18</v>
      </c>
      <c r="K7" s="9" t="s">
        <v>19</v>
      </c>
    </row>
    <row r="8" spans="2:12">
      <c r="B8" s="12">
        <v>1</v>
      </c>
      <c r="C8" s="26" t="s">
        <v>23</v>
      </c>
      <c r="D8" s="13">
        <v>25101803</v>
      </c>
      <c r="E8" s="14" t="s">
        <v>20</v>
      </c>
      <c r="F8" s="15">
        <v>6119.83</v>
      </c>
      <c r="G8" s="16">
        <f>+B8*F8</f>
        <v>6119.83</v>
      </c>
      <c r="H8" s="16">
        <f>+G8*0.16</f>
        <v>979.17280000000005</v>
      </c>
      <c r="I8" s="16">
        <f>+G8+H8</f>
        <v>7099.0028000000002</v>
      </c>
      <c r="J8" s="17"/>
      <c r="K8" s="18"/>
    </row>
    <row r="9" spans="2:12">
      <c r="B9" s="12">
        <v>1</v>
      </c>
      <c r="C9" s="26" t="s">
        <v>23</v>
      </c>
      <c r="D9" s="13">
        <v>25101803</v>
      </c>
      <c r="E9" s="14" t="s">
        <v>21</v>
      </c>
      <c r="F9" s="15">
        <v>6119.83</v>
      </c>
      <c r="G9" s="16">
        <f t="shared" ref="G9:G10" si="0">+B9*F9</f>
        <v>6119.83</v>
      </c>
      <c r="H9" s="16">
        <f t="shared" ref="H9:H10" si="1">+G9*0.16</f>
        <v>979.17280000000005</v>
      </c>
      <c r="I9" s="16">
        <f t="shared" ref="I9:I10" si="2">+G9+H9</f>
        <v>7099.0028000000002</v>
      </c>
      <c r="J9" s="17"/>
      <c r="K9" s="18"/>
    </row>
    <row r="10" spans="2:12">
      <c r="B10" s="12">
        <v>1</v>
      </c>
      <c r="C10" s="26" t="s">
        <v>23</v>
      </c>
      <c r="D10" s="13">
        <v>25101803</v>
      </c>
      <c r="E10" s="14" t="s">
        <v>22</v>
      </c>
      <c r="F10" s="15">
        <v>6119.83</v>
      </c>
      <c r="G10" s="16">
        <f t="shared" si="0"/>
        <v>6119.83</v>
      </c>
      <c r="H10" s="16">
        <f t="shared" si="1"/>
        <v>979.17280000000005</v>
      </c>
      <c r="I10" s="16">
        <f t="shared" si="2"/>
        <v>7099.0028000000002</v>
      </c>
      <c r="J10" s="17"/>
      <c r="K10" s="18"/>
    </row>
    <row r="11" spans="2:12" s="2" customFormat="1">
      <c r="B11" s="19">
        <f>SUM(B8:B10)</f>
        <v>3</v>
      </c>
      <c r="C11" s="20"/>
      <c r="D11" s="20"/>
      <c r="E11" s="21"/>
      <c r="F11" s="22"/>
      <c r="G11" s="23">
        <f>SUM(G8:G10)</f>
        <v>18359.489999999998</v>
      </c>
      <c r="H11" s="23">
        <f>SUM(H8:H10)</f>
        <v>2937.5183999999999</v>
      </c>
      <c r="I11" s="23">
        <f>SUM(I8:J10)</f>
        <v>21297.008399999999</v>
      </c>
      <c r="J11" s="24"/>
      <c r="K11" s="21"/>
    </row>
    <row r="15" spans="2:12">
      <c r="E15" s="5"/>
      <c r="F15" s="3"/>
      <c r="G15" s="6"/>
      <c r="J15" s="4"/>
      <c r="K15" s="1"/>
    </row>
    <row r="16" spans="2:12">
      <c r="E16" s="5"/>
      <c r="F16" s="5"/>
      <c r="H16" s="6"/>
      <c r="J16" s="4"/>
      <c r="K16" s="4"/>
      <c r="L16" s="1"/>
    </row>
    <row r="17" spans="5:12">
      <c r="E17" s="5"/>
      <c r="F17" s="5"/>
      <c r="H17" s="6"/>
      <c r="J17" s="4"/>
      <c r="K17" s="4"/>
      <c r="L17" s="1"/>
    </row>
    <row r="18" spans="5:12">
      <c r="E18" s="5"/>
      <c r="F18" s="5"/>
      <c r="H18" s="6"/>
      <c r="J18" s="4"/>
      <c r="K18" s="4"/>
      <c r="L18" s="1"/>
    </row>
    <row r="19" spans="5:12">
      <c r="E19" s="5"/>
      <c r="F19" s="5"/>
      <c r="H19" s="6"/>
      <c r="J19" s="4"/>
      <c r="K19" s="4"/>
      <c r="L19" s="1"/>
    </row>
    <row r="20" spans="5:12">
      <c r="E20" s="5"/>
      <c r="F20" s="5"/>
      <c r="H20" s="25"/>
      <c r="J20" s="4"/>
      <c r="K20" s="4"/>
      <c r="L20" s="1"/>
    </row>
    <row r="21" spans="5:12">
      <c r="E21" s="5"/>
      <c r="F21" s="5"/>
      <c r="H21" s="6"/>
      <c r="J21" s="4"/>
      <c r="K21" s="4"/>
      <c r="L21" s="1"/>
    </row>
  </sheetData>
  <mergeCells count="5">
    <mergeCell ref="C2:K2"/>
    <mergeCell ref="C3:K3"/>
    <mergeCell ref="C4:K4"/>
    <mergeCell ref="C5:K5"/>
    <mergeCell ref="C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Julio Escalona</cp:lastModifiedBy>
  <dcterms:created xsi:type="dcterms:W3CDTF">2022-11-28T21:49:00Z</dcterms:created>
  <dcterms:modified xsi:type="dcterms:W3CDTF">2026-03-22T16:58:54Z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D0DB0CDD60C1441EA585C96A92B85E0C_13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